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Product" sheetId="1" r:id="rId1"/>
  </sheets>
  <definedNames>
    <definedName name="_xlnm._FilterDatabase" localSheetId="0" hidden="1">Product!$A$1:$E$1</definedName>
    <definedName name="_xlnm.Print_Area" localSheetId="0">Product!$A$1:$E$55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<sst xmlns="http://schemas.openxmlformats.org/spreadsheetml/2006/main" count="214" uniqueCount="100">
  <si>
    <t>Process Step</t>
  </si>
  <si>
    <t>Risk</t>
  </si>
  <si>
    <t>Category</t>
  </si>
  <si>
    <t>Impact</t>
  </si>
  <si>
    <t>Likelihood</t>
  </si>
  <si>
    <t>Impact Score</t>
  </si>
  <si>
    <t>Likelihood Score</t>
  </si>
  <si>
    <t>Risk Score</t>
  </si>
  <si>
    <t>PRODUCT LISTING PAGE (PLP)</t>
  </si>
  <si>
    <t>Product Listing</t>
  </si>
  <si>
    <t>Incorrect price displayed</t>
  </si>
  <si>
    <t>Financial</t>
  </si>
  <si>
    <t>High</t>
  </si>
  <si>
    <t>Medium</t>
  </si>
  <si>
    <t>Out-of-stock items shown as available</t>
  </si>
  <si>
    <t>Operational</t>
  </si>
  <si>
    <t>Low</t>
  </si>
  <si>
    <t>Wrong discount/offer applied</t>
  </si>
  <si>
    <t>Compliance / Financial</t>
  </si>
  <si>
    <t>PRODUCT DETAILS PAGE (PDP)</t>
  </si>
  <si>
    <t>Product Details</t>
  </si>
  <si>
    <t>Incorrect product specs/info</t>
  </si>
  <si>
    <t>Compliance / Customer experience</t>
  </si>
  <si>
    <t>Wrong seller information visible</t>
  </si>
  <si>
    <t>Compliance</t>
  </si>
  <si>
    <t>ADD TO CART</t>
  </si>
  <si>
    <t>Add to Cart</t>
  </si>
  <si>
    <t>Price mismatch between PDP and cart</t>
  </si>
  <si>
    <t>Coupons applied incorrectly</t>
  </si>
  <si>
    <t>CART SUMMARY</t>
  </si>
  <si>
    <t>Cart Summary</t>
  </si>
  <si>
    <t>GST breakdown missing or incorrect</t>
  </si>
  <si>
    <t>Incorrect delivery charges</t>
  </si>
  <si>
    <t>Incorrect quantity reflected (duplicate taps)</t>
  </si>
  <si>
    <t>LOGIN / AUTHENTICATION</t>
  </si>
  <si>
    <t xml:space="preserve">Login  </t>
  </si>
  <si>
    <t>OTP authentication failure</t>
  </si>
  <si>
    <t>Operational / Security</t>
  </si>
  <si>
    <t>Account takeover risk (weak security)</t>
  </si>
  <si>
    <t>Security</t>
  </si>
  <si>
    <t>ADDRESS SELECTION</t>
  </si>
  <si>
    <t>Invalid address accepted</t>
  </si>
  <si>
    <t>Pincode mismatch with delivery availability</t>
  </si>
  <si>
    <t>DELIVERY SLOT/OPTIONS</t>
  </si>
  <si>
    <t>Delivery Options</t>
  </si>
  <si>
    <t>Wrong delivery SLA shown</t>
  </si>
  <si>
    <t>PAYMENT</t>
  </si>
  <si>
    <t xml:space="preserve">Payment </t>
  </si>
  <si>
    <t>Duplicate payments due to retry</t>
  </si>
  <si>
    <t>Wrong EMI interest calculated</t>
  </si>
  <si>
    <t>Wallet/Gift card balance misapplied</t>
  </si>
  <si>
    <t>PAYMENT GATEWAY</t>
  </si>
  <si>
    <t>Payment Gateway</t>
  </si>
  <si>
    <t>Payment captured but order fails</t>
  </si>
  <si>
    <t>Financial / Operational</t>
  </si>
  <si>
    <t>Session timeout during payment</t>
  </si>
  <si>
    <t>ORDER CONFIRMATION</t>
  </si>
  <si>
    <t>Order Confirmation</t>
  </si>
  <si>
    <t>No order ID generated</t>
  </si>
  <si>
    <t>Invoice not generated or incorrect</t>
  </si>
  <si>
    <t>BACKEND LOGGING</t>
  </si>
  <si>
    <t>Backend Logs</t>
  </si>
  <si>
    <t>Missing transaction logs</t>
  </si>
  <si>
    <t>Audit</t>
  </si>
  <si>
    <t>No reconciliation between payment report &amp; order DB</t>
  </si>
  <si>
    <t>SELLER / MARKETPLACE RISKS</t>
  </si>
  <si>
    <t>Seller Assignment</t>
  </si>
  <si>
    <t>Wrong seller assigned (pricing or region mismatch)</t>
  </si>
  <si>
    <t>Compliance / Operational</t>
  </si>
  <si>
    <t xml:space="preserve">Unverified or blacklisted seller </t>
  </si>
  <si>
    <t>Seller manipulates price just before checkout</t>
  </si>
  <si>
    <t>DELIVERY &amp; OPERATIONS RISKS</t>
  </si>
  <si>
    <t>Delivery Partner Selection</t>
  </si>
  <si>
    <t>Wrong courier selected (region not serviced)</t>
  </si>
  <si>
    <t>Delivery Fee</t>
  </si>
  <si>
    <t>Incorrect surge or delivery fee for remote locations</t>
  </si>
  <si>
    <t>Delivery ETA</t>
  </si>
  <si>
    <t>ETA not updated due to backend API lag</t>
  </si>
  <si>
    <t>RETURNS, REFUNDS, AND POST-ORDER RISKS</t>
  </si>
  <si>
    <t>Refund Trigger</t>
  </si>
  <si>
    <t>Refund auto-trigger fails after payment failure</t>
  </si>
  <si>
    <t>Return Eligibility</t>
  </si>
  <si>
    <t>Return policy incorrectly shown (e.g., no return &lt; returnable)</t>
  </si>
  <si>
    <t>Refund Method</t>
  </si>
  <si>
    <t>Refund issued to wrong payment method</t>
  </si>
  <si>
    <t>TAX, INVOICE, AND LEGAL RISKS</t>
  </si>
  <si>
    <t>Invoice Generation</t>
  </si>
  <si>
    <t>Incorrect GST or HSN/SAC code applied</t>
  </si>
  <si>
    <t>GST Invoice</t>
  </si>
  <si>
    <t>B2B invoice incorrectly generated for personal accounts</t>
  </si>
  <si>
    <t>KYC Requirements</t>
  </si>
  <si>
    <t xml:space="preserve">Missing KYC for high-value orders
</t>
  </si>
  <si>
    <t>Legal / Compliance</t>
  </si>
  <si>
    <t>DATA &amp; SECURITY RISKS</t>
  </si>
  <si>
    <t>API Calls</t>
  </si>
  <si>
    <t>API request tampering leading to price manipulation</t>
  </si>
  <si>
    <t>Security / Financial</t>
  </si>
  <si>
    <t>Payment Data</t>
  </si>
  <si>
    <t>Sensitive payment data stored without encryption</t>
  </si>
  <si>
    <t>Security / Compliance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</si>
</sst>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CC6DA9"/>
        <bgColor indexed="64"/>
      </patternFill>
    </fill>
    <fill>
      <patternFill patternType="solid">
        <fgColor rgb="FFAC8CD8"/>
        <bgColor indexed="64"/>
      </patternFill>
    </fill>
    <fill>
      <patternFill patternType="solid">
        <fgColor rgb="FFD6AFAA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4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ill>
        <patternFill patternType="solid">
          <bgColor theme="9" tint="-0.25"/>
        </patternFill>
      </fill>
    </dxf>
    <dxf>
      <fill>
        <patternFill patternType="solid">
          <bgColor theme="7" tint="0.4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mruColors>
      <color rgb="00EBADEC"/>
      <color rgb="00D6AFAA"/>
      <color rgb="00B0F5BB"/>
      <color rgb="00CC6DA9"/>
      <color rgb="00AC8CD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5"/>
  <sheetViews>
    <sheetView tabSelected="1" zoomScale="40" zoomScaleNormal="40" workbookViewId="0">
      <pane ySplit="1" topLeftCell="A2" activePane="bottomLeft" state="frozen"/>
      <selection/>
      <selection pane="bottomLeft" activeCell="C64" sqref="C64"/>
    </sheetView>
  </sheetViews>
  <sheetFormatPr defaultColWidth="8.72727272727273" defaultRowHeight="14.5" outlineLevelCol="7"/>
  <cols>
    <col min="1" max="1" width="23.0909090909091" customWidth="1"/>
    <col min="2" max="2" width="51.0363636363636" customWidth="1"/>
    <col min="3" max="3" width="41.3272727272727" customWidth="1"/>
    <col min="4" max="4" width="14.9272727272727" customWidth="1"/>
    <col min="5" max="5" width="19.6090909090909" customWidth="1"/>
    <col min="6" max="6" width="15.1909090909091" style="1" customWidth="1"/>
    <col min="7" max="7" width="17.7909090909091" style="1" customWidth="1"/>
    <col min="8" max="8" width="12.8545454545455" style="1" customWidth="1"/>
  </cols>
  <sheetData>
    <row r="1" spans="1:8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</row>
    <row r="2" ht="19" customHeight="1" spans="1:8">
      <c r="A2" s="10" t="s">
        <v>8</v>
      </c>
      <c r="B2" s="10"/>
      <c r="C2" s="10"/>
      <c r="D2" s="10"/>
      <c r="E2" s="10"/>
      <c r="F2" s="10"/>
      <c r="G2" s="10"/>
      <c r="H2" s="10"/>
    </row>
    <row r="3" spans="1:8">
      <c r="A3" s="11" t="s">
        <v>9</v>
      </c>
      <c r="B3" s="11" t="s">
        <v>10</v>
      </c>
      <c r="C3" s="11" t="s">
        <v>11</v>
      </c>
      <c r="D3" s="11" t="s">
        <v>12</v>
      </c>
      <c r="E3" s="11" t="s">
        <v>13</v>
      </c>
      <c r="F3" s="12">
        <f>IF(D3="Low",1,IF(D3="Medium",2,IF(D3="High",3,"")))</f>
        <v>3</v>
      </c>
      <c r="G3" s="13">
        <f t="shared" ref="G3:G8" si="0">IF(E3="Low",1,IF(E3="Medium",2,IF(E3="High",3,"")))</f>
        <v>2</v>
      </c>
      <c r="H3" s="13">
        <f t="shared" ref="H3:H8" si="1">F3*G3</f>
        <v>6</v>
      </c>
    </row>
    <row r="4" spans="1:8">
      <c r="A4" s="11" t="s">
        <v>9</v>
      </c>
      <c r="B4" s="11" t="s">
        <v>14</v>
      </c>
      <c r="C4" s="11" t="s">
        <v>15</v>
      </c>
      <c r="D4" s="11" t="s">
        <v>12</v>
      </c>
      <c r="E4" s="11" t="s">
        <v>16</v>
      </c>
      <c r="F4" s="12">
        <f>IF(D4="Low",1,IF(D4="Medium",2,IF(D4="High",3,"")))</f>
        <v>3</v>
      </c>
      <c r="G4" s="13">
        <f t="shared" si="0"/>
        <v>1</v>
      </c>
      <c r="H4" s="13">
        <f t="shared" si="1"/>
        <v>3</v>
      </c>
    </row>
    <row r="5" spans="1:8">
      <c r="A5" s="11" t="s">
        <v>9</v>
      </c>
      <c r="B5" s="11" t="s">
        <v>17</v>
      </c>
      <c r="C5" s="11" t="s">
        <v>18</v>
      </c>
      <c r="D5" s="11" t="s">
        <v>13</v>
      </c>
      <c r="E5" s="11" t="s">
        <v>13</v>
      </c>
      <c r="F5" s="12">
        <f>IF(D5="Low",1,IF(D5="Medium",2,IF(D5="High",3,"")))</f>
        <v>2</v>
      </c>
      <c r="G5" s="13">
        <f t="shared" si="0"/>
        <v>2</v>
      </c>
      <c r="H5" s="13">
        <f t="shared" si="1"/>
        <v>4</v>
      </c>
    </row>
    <row r="6" ht="15.5" spans="1:8">
      <c r="A6" s="10" t="s">
        <v>19</v>
      </c>
      <c r="B6" s="10"/>
      <c r="C6" s="10"/>
      <c r="D6" s="10"/>
      <c r="E6" s="10"/>
      <c r="F6" s="10"/>
      <c r="G6" s="10"/>
      <c r="H6" s="10"/>
    </row>
    <row r="7" spans="1:8">
      <c r="A7" s="11" t="s">
        <v>20</v>
      </c>
      <c r="B7" s="11" t="s">
        <v>21</v>
      </c>
      <c r="C7" s="11" t="s">
        <v>22</v>
      </c>
      <c r="D7" s="11" t="s">
        <v>13</v>
      </c>
      <c r="E7" s="11" t="s">
        <v>13</v>
      </c>
      <c r="F7" s="12">
        <f>IF(D7="Low",1,IF(D7="Medium",2,IF(D7="High",3,"")))</f>
        <v>2</v>
      </c>
      <c r="G7" s="13">
        <f t="shared" si="0"/>
        <v>2</v>
      </c>
      <c r="H7" s="13">
        <f t="shared" si="1"/>
        <v>4</v>
      </c>
    </row>
    <row r="8" ht="20" customHeight="1" spans="1:8">
      <c r="A8" s="11" t="s">
        <v>20</v>
      </c>
      <c r="B8" s="11" t="s">
        <v>23</v>
      </c>
      <c r="C8" s="11" t="s">
        <v>24</v>
      </c>
      <c r="D8" s="11" t="s">
        <v>16</v>
      </c>
      <c r="E8" s="11" t="s">
        <v>16</v>
      </c>
      <c r="F8" s="12">
        <f>IF(D8="Low",1,IF(D8="Medium",2,IF(D8="High",3,"")))</f>
        <v>1</v>
      </c>
      <c r="G8" s="13">
        <f t="shared" si="0"/>
        <v>1</v>
      </c>
      <c r="H8" s="13">
        <f t="shared" si="1"/>
        <v>1</v>
      </c>
    </row>
    <row r="9" ht="15.5" spans="1:8">
      <c r="A9" s="10" t="s">
        <v>25</v>
      </c>
      <c r="B9" s="10"/>
      <c r="C9" s="10"/>
      <c r="D9" s="10"/>
      <c r="E9" s="10"/>
      <c r="F9" s="10"/>
      <c r="G9" s="10"/>
      <c r="H9" s="10"/>
    </row>
    <row r="10" spans="1:8">
      <c r="A10" s="11" t="s">
        <v>26</v>
      </c>
      <c r="B10" s="11" t="s">
        <v>27</v>
      </c>
      <c r="C10" s="11" t="s">
        <v>11</v>
      </c>
      <c r="D10" s="11" t="s">
        <v>12</v>
      </c>
      <c r="E10" s="11" t="s">
        <v>13</v>
      </c>
      <c r="F10" s="12">
        <f>IF(D10="Low",1,IF(D10="Medium",2,IF(D10="High",3,"")))</f>
        <v>3</v>
      </c>
      <c r="G10" s="13">
        <f t="shared" ref="G10:G15" si="2">IF(E10="Low",1,IF(E10="Medium",2,IF(E10="High",3,"")))</f>
        <v>2</v>
      </c>
      <c r="H10" s="13">
        <f t="shared" ref="H10:H14" si="3">F10*G10</f>
        <v>6</v>
      </c>
    </row>
    <row r="11" spans="1:8">
      <c r="A11" s="11" t="s">
        <v>26</v>
      </c>
      <c r="B11" s="11" t="s">
        <v>28</v>
      </c>
      <c r="C11" s="11" t="s">
        <v>18</v>
      </c>
      <c r="D11" s="11" t="s">
        <v>13</v>
      </c>
      <c r="E11" s="11" t="s">
        <v>13</v>
      </c>
      <c r="F11" s="12">
        <f>IF(D11="Low",1,IF(D11="Medium",2,IF(D11="High",3,"")))</f>
        <v>2</v>
      </c>
      <c r="G11" s="13">
        <f t="shared" si="2"/>
        <v>2</v>
      </c>
      <c r="H11" s="13">
        <f t="shared" si="3"/>
        <v>4</v>
      </c>
    </row>
    <row r="12" ht="15.5" spans="1:8">
      <c r="A12" s="14" t="s">
        <v>29</v>
      </c>
      <c r="B12" s="14"/>
      <c r="C12" s="14"/>
      <c r="D12" s="14"/>
      <c r="E12" s="14"/>
      <c r="F12" s="14"/>
      <c r="G12" s="14"/>
      <c r="H12" s="14"/>
    </row>
    <row r="13" spans="1:8">
      <c r="A13" s="11" t="s">
        <v>30</v>
      </c>
      <c r="B13" s="11" t="s">
        <v>31</v>
      </c>
      <c r="C13" s="11" t="s">
        <v>24</v>
      </c>
      <c r="D13" s="11" t="s">
        <v>12</v>
      </c>
      <c r="E13" s="11" t="s">
        <v>16</v>
      </c>
      <c r="F13" s="12">
        <f>IF(D13="Low",1,IF(D13="Medium",2,IF(D13="High",3,"")))</f>
        <v>3</v>
      </c>
      <c r="G13" s="13">
        <f t="shared" si="2"/>
        <v>1</v>
      </c>
      <c r="H13" s="13">
        <f t="shared" si="3"/>
        <v>3</v>
      </c>
    </row>
    <row r="14" spans="1:8">
      <c r="A14" s="11" t="s">
        <v>30</v>
      </c>
      <c r="B14" s="11" t="s">
        <v>32</v>
      </c>
      <c r="C14" s="11" t="s">
        <v>11</v>
      </c>
      <c r="D14" s="11" t="s">
        <v>13</v>
      </c>
      <c r="E14" s="11" t="s">
        <v>13</v>
      </c>
      <c r="F14" s="12">
        <f>IF(D14="Low",1,IF(D14="Medium",2,IF(D14="High",3,"")))</f>
        <v>2</v>
      </c>
      <c r="G14" s="13">
        <f t="shared" si="2"/>
        <v>2</v>
      </c>
      <c r="H14" s="13">
        <f t="shared" si="3"/>
        <v>4</v>
      </c>
    </row>
    <row r="15" spans="1:8">
      <c r="A15" s="11" t="s">
        <v>30</v>
      </c>
      <c r="B15" s="11" t="s">
        <v>33</v>
      </c>
      <c r="C15" s="11" t="s">
        <v>15</v>
      </c>
      <c r="D15" s="11" t="s">
        <v>16</v>
      </c>
      <c r="E15" s="11" t="s">
        <v>13</v>
      </c>
      <c r="F15" s="12">
        <f>IF(D15="Low",1,IF(D15="Medium",2,IF(D15="High",3,"")))</f>
        <v>1</v>
      </c>
      <c r="G15" s="13">
        <f t="shared" si="2"/>
        <v>2</v>
      </c>
      <c r="H15" s="13"/>
    </row>
    <row r="16" ht="15.5" spans="1:8">
      <c r="A16" s="10" t="s">
        <v>34</v>
      </c>
      <c r="B16" s="10"/>
      <c r="C16" s="10"/>
      <c r="D16" s="10"/>
      <c r="E16" s="10"/>
      <c r="F16" s="10"/>
      <c r="G16" s="10"/>
      <c r="H16" s="10"/>
    </row>
    <row r="17" spans="1:8">
      <c r="A17" s="11" t="s">
        <v>35</v>
      </c>
      <c r="B17" s="11" t="s">
        <v>36</v>
      </c>
      <c r="C17" s="11" t="s">
        <v>37</v>
      </c>
      <c r="D17" s="11" t="s">
        <v>13</v>
      </c>
      <c r="E17" s="11" t="s">
        <v>12</v>
      </c>
      <c r="F17" s="12">
        <f>IF(D17="Low",1,IF(D17="Medium",2,IF(D17="High",3,"")))</f>
        <v>2</v>
      </c>
      <c r="G17" s="13">
        <f t="shared" ref="G17:G21" si="4">IF(E17="Low",1,IF(E17="Medium",2,IF(E17="High",3,"")))</f>
        <v>3</v>
      </c>
      <c r="H17" s="13">
        <f t="shared" ref="H17:H21" si="5">F17*G17</f>
        <v>6</v>
      </c>
    </row>
    <row r="18" spans="1:8">
      <c r="A18" s="11" t="s">
        <v>35</v>
      </c>
      <c r="B18" s="11" t="s">
        <v>38</v>
      </c>
      <c r="C18" s="11" t="s">
        <v>39</v>
      </c>
      <c r="D18" s="11" t="s">
        <v>12</v>
      </c>
      <c r="E18" s="11" t="s">
        <v>13</v>
      </c>
      <c r="F18" s="12">
        <f>IF(D18="Low",1,IF(D18="Medium",2,IF(D18="High",3,"")))</f>
        <v>3</v>
      </c>
      <c r="G18" s="13">
        <f t="shared" si="4"/>
        <v>2</v>
      </c>
      <c r="H18" s="13">
        <f t="shared" si="5"/>
        <v>6</v>
      </c>
    </row>
    <row r="19" ht="15.5" spans="1:8">
      <c r="A19" s="10" t="s">
        <v>40</v>
      </c>
      <c r="B19" s="10"/>
      <c r="C19" s="10"/>
      <c r="D19" s="10"/>
      <c r="E19" s="10"/>
      <c r="F19" s="10"/>
      <c r="G19" s="10"/>
      <c r="H19" s="10"/>
    </row>
    <row r="20" spans="1:8">
      <c r="A20" s="11" t="s">
        <v>35</v>
      </c>
      <c r="B20" s="11" t="s">
        <v>41</v>
      </c>
      <c r="C20" s="11" t="s">
        <v>15</v>
      </c>
      <c r="D20" s="11" t="s">
        <v>13</v>
      </c>
      <c r="E20" s="11" t="s">
        <v>13</v>
      </c>
      <c r="F20" s="12">
        <f>IF(D20="Low",1,IF(D20="Medium",2,IF(D20="High",3,"")))</f>
        <v>2</v>
      </c>
      <c r="G20" s="13">
        <f t="shared" si="4"/>
        <v>2</v>
      </c>
      <c r="H20" s="13">
        <f t="shared" si="5"/>
        <v>4</v>
      </c>
    </row>
    <row r="21" spans="1:8">
      <c r="A21" s="11" t="s">
        <v>35</v>
      </c>
      <c r="B21" s="11" t="s">
        <v>42</v>
      </c>
      <c r="C21" s="11" t="s">
        <v>15</v>
      </c>
      <c r="D21" s="11" t="s">
        <v>12</v>
      </c>
      <c r="E21" s="11" t="s">
        <v>13</v>
      </c>
      <c r="F21" s="12">
        <f>IF(D21="Low",1,IF(D21="Medium",2,IF(D21="High",3,"")))</f>
        <v>3</v>
      </c>
      <c r="G21" s="13">
        <f t="shared" si="4"/>
        <v>2</v>
      </c>
      <c r="H21" s="13">
        <f t="shared" si="5"/>
        <v>6</v>
      </c>
    </row>
    <row r="22" ht="15.5" spans="1:8">
      <c r="A22" s="10" t="s">
        <v>43</v>
      </c>
      <c r="B22" s="10"/>
      <c r="C22" s="10"/>
      <c r="D22" s="10"/>
      <c r="E22" s="10"/>
      <c r="F22" s="10"/>
      <c r="G22" s="10"/>
      <c r="H22" s="10"/>
    </row>
    <row r="23" spans="1:8">
      <c r="A23" s="11" t="s">
        <v>44</v>
      </c>
      <c r="B23" s="11" t="s">
        <v>45</v>
      </c>
      <c r="C23" s="11" t="s">
        <v>15</v>
      </c>
      <c r="D23" s="11" t="s">
        <v>13</v>
      </c>
      <c r="E23" s="11" t="s">
        <v>13</v>
      </c>
      <c r="F23" s="12">
        <f>IF(D23="Low",1,IF(D23="Medium",2,IF(D23="High",3,"")))</f>
        <v>2</v>
      </c>
      <c r="G23" s="13">
        <f>IF(E23="Low",1,IF(E23="Medium",2,IF(E23="High",3,"")))</f>
        <v>2</v>
      </c>
      <c r="H23" s="13">
        <f t="shared" ref="H23:H27" si="6">F23*G23</f>
        <v>4</v>
      </c>
    </row>
    <row r="24" ht="15.5" spans="1:8">
      <c r="A24" s="10" t="s">
        <v>46</v>
      </c>
      <c r="B24" s="10"/>
      <c r="C24" s="10"/>
      <c r="D24" s="10"/>
      <c r="E24" s="10"/>
      <c r="F24" s="10"/>
      <c r="G24" s="10"/>
      <c r="H24" s="10"/>
    </row>
    <row r="25" spans="1:8">
      <c r="A25" s="11" t="s">
        <v>47</v>
      </c>
      <c r="B25" s="11" t="s">
        <v>48</v>
      </c>
      <c r="C25" s="11" t="s">
        <v>11</v>
      </c>
      <c r="D25" s="11" t="s">
        <v>12</v>
      </c>
      <c r="E25" s="11" t="s">
        <v>13</v>
      </c>
      <c r="F25" s="12">
        <f>IF(D25="Low",1,IF(D25="Medium",2,IF(D25="High",3,"")))</f>
        <v>3</v>
      </c>
      <c r="G25" s="13">
        <f t="shared" ref="G25:G30" si="7">IF(E25="Low",1,IF(E25="Medium",2,IF(E25="High",3,"")))</f>
        <v>2</v>
      </c>
      <c r="H25" s="13">
        <f t="shared" si="6"/>
        <v>6</v>
      </c>
    </row>
    <row r="26" spans="1:8">
      <c r="A26" s="11" t="s">
        <v>47</v>
      </c>
      <c r="B26" s="11" t="s">
        <v>49</v>
      </c>
      <c r="C26" s="11" t="s">
        <v>11</v>
      </c>
      <c r="D26" s="11" t="s">
        <v>13</v>
      </c>
      <c r="E26" s="11" t="s">
        <v>16</v>
      </c>
      <c r="F26" s="12">
        <f>IF(D26="Low",1,IF(D26="Medium",2,IF(D26="High",3,"")))</f>
        <v>2</v>
      </c>
      <c r="G26" s="13">
        <f t="shared" si="7"/>
        <v>1</v>
      </c>
      <c r="H26" s="13">
        <f t="shared" si="6"/>
        <v>2</v>
      </c>
    </row>
    <row r="27" spans="1:8">
      <c r="A27" s="11" t="s">
        <v>47</v>
      </c>
      <c r="B27" s="11" t="s">
        <v>50</v>
      </c>
      <c r="C27" s="11" t="s">
        <v>11</v>
      </c>
      <c r="D27" s="11" t="s">
        <v>13</v>
      </c>
      <c r="E27" s="11" t="s">
        <v>13</v>
      </c>
      <c r="F27" s="12">
        <f>IF(D27="Low",1,IF(D27="Medium",2,IF(D27="High",3,"")))</f>
        <v>2</v>
      </c>
      <c r="G27" s="13">
        <f t="shared" si="7"/>
        <v>2</v>
      </c>
      <c r="H27" s="13">
        <f t="shared" si="6"/>
        <v>4</v>
      </c>
    </row>
    <row r="28" ht="15.5" spans="1:8">
      <c r="A28" s="10" t="s">
        <v>51</v>
      </c>
      <c r="B28" s="10"/>
      <c r="C28" s="10"/>
      <c r="D28" s="10"/>
      <c r="E28" s="10"/>
      <c r="F28" s="10"/>
      <c r="G28" s="10"/>
      <c r="H28" s="10"/>
    </row>
    <row r="29" spans="1:8">
      <c r="A29" s="11" t="s">
        <v>52</v>
      </c>
      <c r="B29" s="11" t="s">
        <v>53</v>
      </c>
      <c r="C29" s="11" t="s">
        <v>54</v>
      </c>
      <c r="D29" s="11" t="s">
        <v>12</v>
      </c>
      <c r="E29" s="11" t="s">
        <v>16</v>
      </c>
      <c r="F29" s="12">
        <f>IF(D29="Low",1,IF(D29="Medium",2,IF(D29="High",3,"")))</f>
        <v>3</v>
      </c>
      <c r="G29" s="13">
        <f t="shared" si="7"/>
        <v>1</v>
      </c>
      <c r="H29" s="13">
        <f>F29*G29</f>
        <v>3</v>
      </c>
    </row>
    <row r="30" spans="1:8">
      <c r="A30" s="11" t="s">
        <v>52</v>
      </c>
      <c r="B30" s="11" t="s">
        <v>55</v>
      </c>
      <c r="C30" s="11" t="s">
        <v>15</v>
      </c>
      <c r="D30" s="11" t="s">
        <v>13</v>
      </c>
      <c r="E30" s="11" t="s">
        <v>13</v>
      </c>
      <c r="F30" s="12">
        <f>IF(D30="Low",1,IF(D30="Medium",2,IF(D30="High",3,"")))</f>
        <v>2</v>
      </c>
      <c r="G30" s="13">
        <f t="shared" si="7"/>
        <v>2</v>
      </c>
      <c r="H30" s="13">
        <f>F30*G30</f>
        <v>4</v>
      </c>
    </row>
    <row r="31" ht="15.5" spans="1:8">
      <c r="A31" s="10" t="s">
        <v>56</v>
      </c>
      <c r="B31" s="10"/>
      <c r="C31" s="10"/>
      <c r="D31" s="10"/>
      <c r="E31" s="10"/>
      <c r="F31" s="10"/>
      <c r="G31" s="10"/>
      <c r="H31" s="10"/>
    </row>
    <row r="32" spans="1:8">
      <c r="A32" s="11" t="s">
        <v>57</v>
      </c>
      <c r="B32" s="11" t="s">
        <v>58</v>
      </c>
      <c r="C32" s="11" t="s">
        <v>54</v>
      </c>
      <c r="D32" s="11" t="s">
        <v>12</v>
      </c>
      <c r="E32" s="11" t="s">
        <v>16</v>
      </c>
      <c r="F32" s="12">
        <f>IF(D32="Low",1,IF(D32="Medium",2,IF(D32="High",3,"")))</f>
        <v>3</v>
      </c>
      <c r="G32" s="13">
        <f t="shared" ref="G32:G36" si="8">IF(E32="Low",1,IF(E32="Medium",2,IF(E32="High",3,"")))</f>
        <v>1</v>
      </c>
      <c r="H32" s="13">
        <f t="shared" ref="H32:H36" si="9">F32*G32</f>
        <v>3</v>
      </c>
    </row>
    <row r="33" spans="1:8">
      <c r="A33" s="11" t="s">
        <v>57</v>
      </c>
      <c r="B33" s="11" t="s">
        <v>59</v>
      </c>
      <c r="C33" s="11" t="s">
        <v>18</v>
      </c>
      <c r="D33" s="11" t="s">
        <v>12</v>
      </c>
      <c r="E33" s="11" t="s">
        <v>16</v>
      </c>
      <c r="F33" s="12">
        <f>IF(D33="Low",1,IF(D33="Medium",2,IF(D33="High",3,"")))</f>
        <v>3</v>
      </c>
      <c r="G33" s="13">
        <f t="shared" si="8"/>
        <v>1</v>
      </c>
      <c r="H33" s="13">
        <f t="shared" si="9"/>
        <v>3</v>
      </c>
    </row>
    <row r="34" ht="15.5" spans="1:8">
      <c r="A34" s="10" t="s">
        <v>60</v>
      </c>
      <c r="B34" s="10"/>
      <c r="C34" s="10"/>
      <c r="D34" s="10"/>
      <c r="E34" s="10"/>
      <c r="F34" s="10"/>
      <c r="G34" s="10"/>
      <c r="H34" s="10"/>
    </row>
    <row r="35" spans="1:8">
      <c r="A35" s="11" t="s">
        <v>61</v>
      </c>
      <c r="B35" s="11" t="s">
        <v>62</v>
      </c>
      <c r="C35" s="11" t="s">
        <v>63</v>
      </c>
      <c r="D35" s="11" t="s">
        <v>12</v>
      </c>
      <c r="E35" s="11" t="s">
        <v>13</v>
      </c>
      <c r="F35" s="12">
        <f>IF(D35="Low",1,IF(D35="Medium",2,IF(D35="High",3,"")))</f>
        <v>3</v>
      </c>
      <c r="G35" s="13">
        <f t="shared" si="8"/>
        <v>2</v>
      </c>
      <c r="H35" s="13">
        <f t="shared" si="9"/>
        <v>6</v>
      </c>
    </row>
    <row r="36" spans="1:8">
      <c r="A36" s="11" t="s">
        <v>61</v>
      </c>
      <c r="B36" s="11" t="s">
        <v>64</v>
      </c>
      <c r="C36" s="11" t="s">
        <v>11</v>
      </c>
      <c r="D36" s="11" t="s">
        <v>12</v>
      </c>
      <c r="E36" s="11" t="s">
        <v>16</v>
      </c>
      <c r="F36" s="12">
        <f>IF(D36="Low",1,IF(D36="Medium",2,IF(D36="High",3,"")))</f>
        <v>3</v>
      </c>
      <c r="G36" s="13">
        <f t="shared" si="8"/>
        <v>1</v>
      </c>
      <c r="H36" s="13">
        <f t="shared" si="9"/>
        <v>3</v>
      </c>
    </row>
    <row r="37" ht="15.5" spans="1:8">
      <c r="A37" s="10" t="s">
        <v>65</v>
      </c>
      <c r="B37" s="10"/>
      <c r="C37" s="10"/>
      <c r="D37" s="10"/>
      <c r="E37" s="10"/>
      <c r="F37" s="10"/>
      <c r="G37" s="10"/>
      <c r="H37" s="10"/>
    </row>
    <row r="38" spans="1:8">
      <c r="A38" s="11" t="s">
        <v>66</v>
      </c>
      <c r="B38" s="11" t="s">
        <v>67</v>
      </c>
      <c r="C38" s="11" t="s">
        <v>68</v>
      </c>
      <c r="D38" s="11" t="s">
        <v>12</v>
      </c>
      <c r="E38" s="11" t="s">
        <v>16</v>
      </c>
      <c r="F38" s="12">
        <f>IF(D38="Low",1,IF(D38="Medium",2,IF(D38="High",3,"")))</f>
        <v>3</v>
      </c>
      <c r="G38" s="13">
        <f t="shared" ref="G38:G44" si="10">IF(E38="Low",1,IF(E38="Medium",2,IF(E38="High",3,"")))</f>
        <v>1</v>
      </c>
      <c r="H38" s="13">
        <f t="shared" ref="H38:H40" si="11">F38*G38</f>
        <v>3</v>
      </c>
    </row>
    <row r="39" spans="1:8">
      <c r="A39" s="11" t="s">
        <v>66</v>
      </c>
      <c r="B39" s="11" t="s">
        <v>69</v>
      </c>
      <c r="C39" s="11" t="s">
        <v>24</v>
      </c>
      <c r="D39" s="11" t="s">
        <v>12</v>
      </c>
      <c r="E39" s="11" t="s">
        <v>16</v>
      </c>
      <c r="F39" s="12">
        <f>IF(D39="Low",1,IF(D39="Medium",2,IF(D39="High",3,"")))</f>
        <v>3</v>
      </c>
      <c r="G39" s="13">
        <f t="shared" si="10"/>
        <v>1</v>
      </c>
      <c r="H39" s="13">
        <f t="shared" si="11"/>
        <v>3</v>
      </c>
    </row>
    <row r="40" spans="1:8">
      <c r="A40" s="11" t="s">
        <v>66</v>
      </c>
      <c r="B40" s="11" t="s">
        <v>70</v>
      </c>
      <c r="C40" s="11" t="s">
        <v>11</v>
      </c>
      <c r="D40" s="11" t="s">
        <v>13</v>
      </c>
      <c r="E40" s="11" t="s">
        <v>13</v>
      </c>
      <c r="F40" s="12">
        <f>IF(D40="Low",1,IF(D40="Medium",2,IF(D40="High",3,"")))</f>
        <v>2</v>
      </c>
      <c r="G40" s="13">
        <f t="shared" si="10"/>
        <v>2</v>
      </c>
      <c r="H40" s="13">
        <f t="shared" si="11"/>
        <v>4</v>
      </c>
    </row>
    <row r="41" ht="15.5" spans="1:8">
      <c r="A41" s="10" t="s">
        <v>71</v>
      </c>
      <c r="B41" s="10"/>
      <c r="C41" s="10"/>
      <c r="D41" s="10"/>
      <c r="E41" s="10"/>
      <c r="F41" s="10"/>
      <c r="G41" s="10"/>
      <c r="H41" s="10"/>
    </row>
    <row r="42" spans="1:8">
      <c r="A42" s="11" t="s">
        <v>72</v>
      </c>
      <c r="B42" s="11" t="s">
        <v>73</v>
      </c>
      <c r="C42" s="11" t="s">
        <v>15</v>
      </c>
      <c r="D42" s="11" t="s">
        <v>13</v>
      </c>
      <c r="E42" s="11" t="s">
        <v>13</v>
      </c>
      <c r="F42" s="12">
        <f>IF(D42="Low",1,IF(D42="Medium",2,IF(D42="High",3,"")))</f>
        <v>2</v>
      </c>
      <c r="G42" s="13">
        <f t="shared" si="10"/>
        <v>2</v>
      </c>
      <c r="H42" s="13">
        <f t="shared" ref="H42:H44" si="12">F42*G42</f>
        <v>4</v>
      </c>
    </row>
    <row r="43" spans="1:8">
      <c r="A43" s="11" t="s">
        <v>74</v>
      </c>
      <c r="B43" s="11" t="s">
        <v>75</v>
      </c>
      <c r="C43" s="11" t="s">
        <v>11</v>
      </c>
      <c r="D43" s="11" t="s">
        <v>13</v>
      </c>
      <c r="E43" s="11" t="s">
        <v>16</v>
      </c>
      <c r="F43" s="12">
        <f>IF(D43="Low",1,IF(D43="Medium",2,IF(D43="High",3,"")))</f>
        <v>2</v>
      </c>
      <c r="G43" s="13">
        <f t="shared" si="10"/>
        <v>1</v>
      </c>
      <c r="H43" s="13">
        <f t="shared" si="12"/>
        <v>2</v>
      </c>
    </row>
    <row r="44" spans="1:8">
      <c r="A44" s="11" t="s">
        <v>76</v>
      </c>
      <c r="B44" s="11" t="s">
        <v>77</v>
      </c>
      <c r="C44" s="11" t="s">
        <v>15</v>
      </c>
      <c r="D44" s="11" t="s">
        <v>13</v>
      </c>
      <c r="E44" s="11" t="s">
        <v>12</v>
      </c>
      <c r="F44" s="12">
        <f>IF(D44="Low",1,IF(D44="Medium",2,IF(D44="High",3,"")))</f>
        <v>2</v>
      </c>
      <c r="G44" s="13">
        <f t="shared" si="10"/>
        <v>3</v>
      </c>
      <c r="H44" s="13">
        <f t="shared" si="12"/>
        <v>6</v>
      </c>
    </row>
    <row r="45" ht="15.5" spans="1:8">
      <c r="A45" s="10" t="s">
        <v>78</v>
      </c>
      <c r="B45" s="10"/>
      <c r="C45" s="10"/>
      <c r="D45" s="10"/>
      <c r="E45" s="10"/>
      <c r="F45" s="10"/>
      <c r="G45" s="10"/>
      <c r="H45" s="10"/>
    </row>
    <row r="46" spans="1:8">
      <c r="A46" s="11" t="s">
        <v>79</v>
      </c>
      <c r="B46" s="11" t="s">
        <v>80</v>
      </c>
      <c r="C46" s="11" t="s">
        <v>54</v>
      </c>
      <c r="D46" s="11" t="s">
        <v>12</v>
      </c>
      <c r="E46" s="11" t="s">
        <v>16</v>
      </c>
      <c r="F46" s="12">
        <f>IF(D46="Low",1,IF(D46="Medium",2,IF(D46="High",3,"")))</f>
        <v>3</v>
      </c>
      <c r="G46" s="13">
        <f t="shared" ref="G46:G52" si="13">IF(E46="Low",1,IF(E46="Medium",2,IF(E46="High",3,"")))</f>
        <v>1</v>
      </c>
      <c r="H46" s="13">
        <f t="shared" ref="H46:H48" si="14">F46*G46</f>
        <v>3</v>
      </c>
    </row>
    <row r="47" spans="1:8">
      <c r="A47" s="11" t="s">
        <v>81</v>
      </c>
      <c r="B47" s="11" t="s">
        <v>82</v>
      </c>
      <c r="C47" s="11" t="s">
        <v>24</v>
      </c>
      <c r="D47" s="11" t="s">
        <v>13</v>
      </c>
      <c r="E47" s="11" t="s">
        <v>13</v>
      </c>
      <c r="F47" s="12">
        <f>IF(D47="Low",1,IF(D47="Medium",2,IF(D47="High",3,"")))</f>
        <v>2</v>
      </c>
      <c r="G47" s="13">
        <f t="shared" si="13"/>
        <v>2</v>
      </c>
      <c r="H47" s="13">
        <f t="shared" si="14"/>
        <v>4</v>
      </c>
    </row>
    <row r="48" spans="1:8">
      <c r="A48" s="11" t="s">
        <v>83</v>
      </c>
      <c r="B48" s="11" t="s">
        <v>84</v>
      </c>
      <c r="C48" s="11" t="s">
        <v>11</v>
      </c>
      <c r="D48" s="11" t="s">
        <v>12</v>
      </c>
      <c r="E48" s="11" t="s">
        <v>16</v>
      </c>
      <c r="F48" s="12">
        <f>IF(D48="Low",1,IF(D48="Medium",2,IF(D48="High",3,"")))</f>
        <v>3</v>
      </c>
      <c r="G48" s="13">
        <f t="shared" si="13"/>
        <v>1</v>
      </c>
      <c r="H48" s="13">
        <f t="shared" si="14"/>
        <v>3</v>
      </c>
    </row>
    <row r="49" ht="15.5" spans="1:8">
      <c r="A49" s="10" t="s">
        <v>85</v>
      </c>
      <c r="B49" s="10"/>
      <c r="C49" s="10"/>
      <c r="D49" s="10"/>
      <c r="E49" s="10"/>
      <c r="F49" s="10"/>
      <c r="G49" s="10"/>
      <c r="H49" s="10"/>
    </row>
    <row r="50" spans="1:8">
      <c r="A50" s="11" t="s">
        <v>86</v>
      </c>
      <c r="B50" s="11" t="s">
        <v>87</v>
      </c>
      <c r="C50" s="11" t="s">
        <v>18</v>
      </c>
      <c r="D50" s="11" t="s">
        <v>12</v>
      </c>
      <c r="E50" s="11" t="s">
        <v>16</v>
      </c>
      <c r="F50" s="12">
        <f>IF(D50="Low",1,IF(D50="Medium",2,IF(D50="High",3,"")))</f>
        <v>3</v>
      </c>
      <c r="G50" s="13">
        <f t="shared" si="13"/>
        <v>1</v>
      </c>
      <c r="H50" s="13">
        <f t="shared" ref="H50:H52" si="15">F50*G50</f>
        <v>3</v>
      </c>
    </row>
    <row r="51" spans="1:8">
      <c r="A51" s="11" t="s">
        <v>88</v>
      </c>
      <c r="B51" s="11" t="s">
        <v>89</v>
      </c>
      <c r="C51" s="11" t="s">
        <v>24</v>
      </c>
      <c r="D51" s="11" t="s">
        <v>12</v>
      </c>
      <c r="E51" s="11" t="s">
        <v>16</v>
      </c>
      <c r="F51" s="12">
        <f>IF(D51="Low",1,IF(D51="Medium",2,IF(D51="High",3,"")))</f>
        <v>3</v>
      </c>
      <c r="G51" s="13">
        <f t="shared" si="13"/>
        <v>1</v>
      </c>
      <c r="H51" s="13">
        <f t="shared" si="15"/>
        <v>3</v>
      </c>
    </row>
    <row r="52" ht="17" customHeight="1" spans="1:8">
      <c r="A52" s="11" t="s">
        <v>90</v>
      </c>
      <c r="B52" s="15" t="s">
        <v>91</v>
      </c>
      <c r="C52" s="11" t="s">
        <v>92</v>
      </c>
      <c r="D52" s="11" t="s">
        <v>13</v>
      </c>
      <c r="E52" s="11" t="s">
        <v>16</v>
      </c>
      <c r="F52" s="12">
        <f>IF(D52="Low",1,IF(D52="Medium",2,IF(D52="High",3,"")))</f>
        <v>2</v>
      </c>
      <c r="G52" s="13">
        <f t="shared" si="13"/>
        <v>1</v>
      </c>
      <c r="H52" s="13">
        <f t="shared" si="15"/>
        <v>2</v>
      </c>
    </row>
    <row r="53" ht="15.5" spans="1:8">
      <c r="A53" s="10" t="s">
        <v>93</v>
      </c>
      <c r="B53" s="10"/>
      <c r="C53" s="10"/>
      <c r="D53" s="10"/>
      <c r="E53" s="10"/>
      <c r="F53" s="10"/>
      <c r="G53" s="10"/>
      <c r="H53" s="10"/>
    </row>
    <row r="54" ht="14" customHeight="1" spans="1:8">
      <c r="A54" s="11" t="s">
        <v>94</v>
      </c>
      <c r="B54" s="11" t="s">
        <v>95</v>
      </c>
      <c r="C54" s="11" t="s">
        <v>96</v>
      </c>
      <c r="D54" s="11" t="s">
        <v>12</v>
      </c>
      <c r="E54" s="11" t="s">
        <v>16</v>
      </c>
      <c r="F54" s="12">
        <f>IF(D54="Low",1,IF(D54="Medium",2,IF(D54="High",3,"")))</f>
        <v>3</v>
      </c>
      <c r="G54" s="13">
        <f>IF(E54="Low",1,IF(E54="Medium",2,IF(E54="High",3,"")))</f>
        <v>1</v>
      </c>
      <c r="H54" s="13">
        <f>F54*G54</f>
        <v>3</v>
      </c>
    </row>
    <row r="55" spans="1:8">
      <c r="A55" s="11" t="s">
        <v>97</v>
      </c>
      <c r="B55" s="11" t="s">
        <v>98</v>
      </c>
      <c r="C55" s="11" t="s">
        <v>99</v>
      </c>
      <c r="D55" s="11" t="s">
        <v>12</v>
      </c>
      <c r="E55" s="11" t="s">
        <v>16</v>
      </c>
      <c r="F55" s="12">
        <f>IF(D55="Low",1,IF(D55="Medium",2,IF(D55="High",3,"")))</f>
        <v>3</v>
      </c>
      <c r="G55" s="13">
        <f>IF(E55="Low",1,IF(E55="Medium",2,IF(E55="High",3,"")))</f>
        <v>1</v>
      </c>
      <c r="H55" s="13">
        <f>F55*G55</f>
        <v>3</v>
      </c>
    </row>
  </sheetData>
  <mergeCells count="16">
    <mergeCell ref="A2:H2"/>
    <mergeCell ref="A6:H6"/>
    <mergeCell ref="A9:H9"/>
    <mergeCell ref="A12:H12"/>
    <mergeCell ref="A16:H16"/>
    <mergeCell ref="A19:H19"/>
    <mergeCell ref="A22:H22"/>
    <mergeCell ref="A24:H24"/>
    <mergeCell ref="A28:H28"/>
    <mergeCell ref="A31:H31"/>
    <mergeCell ref="A34:H34"/>
    <mergeCell ref="A37:H37"/>
    <mergeCell ref="A41:H41"/>
    <mergeCell ref="A45:H45"/>
    <mergeCell ref="A49:H49"/>
    <mergeCell ref="A53:H53"/>
  </mergeCells>
  <conditionalFormatting sqref="F15">
    <cfRule type="containsText" dxfId="0" priority="53" operator="between" text="Low">
      <formula>NOT(ISERROR(SEARCH("Low",F15)))</formula>
    </cfRule>
    <cfRule type="containsText" dxfId="1" priority="54" operator="between" text="Medium">
      <formula>NOT(ISERROR(SEARCH("Medium",F15)))</formula>
    </cfRule>
    <cfRule type="containsText" dxfId="2" priority="55" operator="between" text="High">
      <formula>NOT(ISERROR(SEARCH("High",F15)))</formula>
    </cfRule>
  </conditionalFormatting>
  <conditionalFormatting sqref="D23">
    <cfRule type="containsText" dxfId="1" priority="166" operator="between" text="Medium">
      <formula>NOT(ISERROR(SEARCH("Medium",D23)))</formula>
    </cfRule>
    <cfRule type="containsText" dxfId="0" priority="167" operator="between" text="Low">
      <formula>NOT(ISERROR(SEARCH("Low",D23)))</formula>
    </cfRule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" priority="169" operator="between" text="High">
      <formula>NOT(ISERROR(SEARCH("High",D23)))</formula>
    </cfRule>
  </conditionalFormatting>
  <conditionalFormatting sqref="E23">
    <cfRule type="containsText" dxfId="0" priority="163" operator="between" text="Low">
      <formula>NOT(ISERROR(SEARCH("Low",E23)))</formula>
    </cfRule>
    <cfRule type="containsText" dxfId="1" priority="164" operator="between" text="Medium">
      <formula>NOT(ISERROR(SEARCH("Medium",E23)))</formula>
    </cfRule>
    <cfRule type="containsText" dxfId="2" priority="165" operator="between" text="High">
      <formula>NOT(ISERROR(SEARCH("High",E23)))</formula>
    </cfRule>
  </conditionalFormatting>
  <conditionalFormatting sqref="F23">
    <cfRule type="containsText" dxfId="0" priority="44" operator="between" text="Low">
      <formula>NOT(ISERROR(SEARCH("Low",F23)))</formula>
    </cfRule>
    <cfRule type="containsText" dxfId="1" priority="45" operator="between" text="Medium">
      <formula>NOT(ISERROR(SEARCH("Medium",F23)))</formula>
    </cfRule>
    <cfRule type="containsText" dxfId="2" priority="46" operator="between" text="High">
      <formula>NOT(ISERROR(SEARCH("High",F23)))</formula>
    </cfRule>
  </conditionalFormatting>
  <conditionalFormatting sqref="D27">
    <cfRule type="containsText" dxfId="1" priority="159" operator="between" text="Medium">
      <formula>NOT(ISERROR(SEARCH("Medium",D27)))</formula>
    </cfRule>
    <cfRule type="containsText" dxfId="0" priority="160" operator="between" text="Low">
      <formula>NOT(ISERROR(SEARCH("Low",D27)))</formula>
    </cfRule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" priority="162" operator="between" text="High">
      <formula>NOT(ISERROR(SEARCH("High",D27)))</formula>
    </cfRule>
  </conditionalFormatting>
  <conditionalFormatting sqref="E27">
    <cfRule type="containsText" dxfId="0" priority="156" operator="between" text="Low">
      <formula>NOT(ISERROR(SEARCH("Low",E27)))</formula>
    </cfRule>
    <cfRule type="containsText" dxfId="1" priority="157" operator="between" text="Medium">
      <formula>NOT(ISERROR(SEARCH("Medium",E27)))</formula>
    </cfRule>
    <cfRule type="containsText" dxfId="2" priority="158" operator="between" text="High">
      <formula>NOT(ISERROR(SEARCH("High",E27)))</formula>
    </cfRule>
  </conditionalFormatting>
  <conditionalFormatting sqref="F27">
    <cfRule type="containsText" dxfId="0" priority="38" operator="between" text="Low">
      <formula>NOT(ISERROR(SEARCH("Low",F27)))</formula>
    </cfRule>
    <cfRule type="containsText" dxfId="1" priority="39" operator="between" text="Medium">
      <formula>NOT(ISERROR(SEARCH("Medium",F27)))</formula>
    </cfRule>
    <cfRule type="containsText" dxfId="2" priority="40" operator="between" text="High">
      <formula>NOT(ISERROR(SEARCH("High",F27)))</formula>
    </cfRule>
  </conditionalFormatting>
  <conditionalFormatting sqref="D40">
    <cfRule type="containsText" dxfId="1" priority="124" operator="between" text="Medium">
      <formula>NOT(ISERROR(SEARCH("Medium",D40)))</formula>
    </cfRule>
    <cfRule type="containsText" dxfId="0" priority="125" operator="between" text="Low">
      <formula>NOT(ISERROR(SEARCH("Low",D40)))</formula>
    </cfRule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" priority="127" operator="between" text="High">
      <formula>NOT(ISERROR(SEARCH("High",D40)))</formula>
    </cfRule>
  </conditionalFormatting>
  <conditionalFormatting sqref="E40">
    <cfRule type="containsText" dxfId="0" priority="121" operator="between" text="Low">
      <formula>NOT(ISERROR(SEARCH("Low",E40)))</formula>
    </cfRule>
    <cfRule type="containsText" dxfId="1" priority="122" operator="between" text="Medium">
      <formula>NOT(ISERROR(SEARCH("Medium",E40)))</formula>
    </cfRule>
    <cfRule type="containsText" dxfId="2" priority="123" operator="between" text="High">
      <formula>NOT(ISERROR(SEARCH("High",E40)))</formula>
    </cfRule>
  </conditionalFormatting>
  <conditionalFormatting sqref="F40">
    <cfRule type="containsText" dxfId="0" priority="26" operator="between" text="Low">
      <formula>NOT(ISERROR(SEARCH("Low",F40)))</formula>
    </cfRule>
    <cfRule type="containsText" dxfId="1" priority="27" operator="between" text="Medium">
      <formula>NOT(ISERROR(SEARCH("Medium",F40)))</formula>
    </cfRule>
    <cfRule type="containsText" dxfId="2" priority="28" operator="between" text="High">
      <formula>NOT(ISERROR(SEARCH("High",F40)))</formula>
    </cfRule>
  </conditionalFormatting>
  <conditionalFormatting sqref="D44">
    <cfRule type="containsText" dxfId="1" priority="110" operator="between" text="Medium">
      <formula>NOT(ISERROR(SEARCH("Medium",D44)))</formula>
    </cfRule>
    <cfRule type="containsText" dxfId="0" priority="111" operator="between" text="Low">
      <formula>NOT(ISERROR(SEARCH("Low",D44)))</formula>
    </cfRule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" priority="113" operator="between" text="High">
      <formula>NOT(ISERROR(SEARCH("High",D44)))</formula>
    </cfRule>
  </conditionalFormatting>
  <conditionalFormatting sqref="E44">
    <cfRule type="containsText" dxfId="0" priority="107" operator="between" text="Low">
      <formula>NOT(ISERROR(SEARCH("Low",E44)))</formula>
    </cfRule>
    <cfRule type="containsText" dxfId="1" priority="108" operator="between" text="Medium">
      <formula>NOT(ISERROR(SEARCH("Medium",E44)))</formula>
    </cfRule>
    <cfRule type="containsText" dxfId="2" priority="109" operator="between" text="High">
      <formula>NOT(ISERROR(SEARCH("High",E44)))</formula>
    </cfRule>
  </conditionalFormatting>
  <conditionalFormatting sqref="F44">
    <cfRule type="containsText" dxfId="0" priority="20" operator="between" text="Low">
      <formula>NOT(ISERROR(SEARCH("Low",F44)))</formula>
    </cfRule>
    <cfRule type="containsText" dxfId="1" priority="21" operator="between" text="Medium">
      <formula>NOT(ISERROR(SEARCH("Medium",F44)))</formula>
    </cfRule>
    <cfRule type="containsText" dxfId="2" priority="22" operator="between" text="High">
      <formula>NOT(ISERROR(SEARCH("High",F44)))</formula>
    </cfRule>
  </conditionalFormatting>
  <conditionalFormatting sqref="D48">
    <cfRule type="containsText" dxfId="1" priority="96" operator="between" text="Medium">
      <formula>NOT(ISERROR(SEARCH("Medium",D48)))</formula>
    </cfRule>
    <cfRule type="containsText" dxfId="0" priority="97" operator="between" text="Low">
      <formula>NOT(ISERROR(SEARCH("Low",D48)))</formula>
    </cfRule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" priority="99" operator="between" text="High">
      <formula>NOT(ISERROR(SEARCH("High",D48)))</formula>
    </cfRule>
  </conditionalFormatting>
  <conditionalFormatting sqref="E48">
    <cfRule type="containsText" dxfId="0" priority="93" operator="between" text="Low">
      <formula>NOT(ISERROR(SEARCH("Low",E48)))</formula>
    </cfRule>
    <cfRule type="containsText" dxfId="1" priority="94" operator="between" text="Medium">
      <formula>NOT(ISERROR(SEARCH("Medium",E48)))</formula>
    </cfRule>
    <cfRule type="containsText" dxfId="2" priority="95" operator="between" text="High">
      <formula>NOT(ISERROR(SEARCH("High",E48)))</formula>
    </cfRule>
  </conditionalFormatting>
  <conditionalFormatting sqref="F48">
    <cfRule type="containsText" dxfId="0" priority="14" operator="between" text="Low">
      <formula>NOT(ISERROR(SEARCH("Low",F48)))</formula>
    </cfRule>
    <cfRule type="containsText" dxfId="1" priority="15" operator="between" text="Medium">
      <formula>NOT(ISERROR(SEARCH("Medium",F48)))</formula>
    </cfRule>
    <cfRule type="containsText" dxfId="2" priority="16" operator="between" text="High">
      <formula>NOT(ISERROR(SEARCH("High",F48)))</formula>
    </cfRule>
  </conditionalFormatting>
  <conditionalFormatting sqref="D52">
    <cfRule type="containsText" dxfId="1" priority="82" operator="between" text="Medium">
      <formula>NOT(ISERROR(SEARCH("Medium",D52)))</formula>
    </cfRule>
    <cfRule type="containsText" dxfId="0" priority="83" operator="between" text="Low">
      <formula>NOT(ISERROR(SEARCH("Low",D52)))</formula>
    </cfRule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" priority="85" operator="between" text="High">
      <formula>NOT(ISERROR(SEARCH("High",D52)))</formula>
    </cfRule>
  </conditionalFormatting>
  <conditionalFormatting sqref="E52">
    <cfRule type="containsText" dxfId="0" priority="79" operator="between" text="Low">
      <formula>NOT(ISERROR(SEARCH("Low",E52)))</formula>
    </cfRule>
    <cfRule type="containsText" dxfId="1" priority="80" operator="between" text="Medium">
      <formula>NOT(ISERROR(SEARCH("Medium",E52)))</formula>
    </cfRule>
    <cfRule type="containsText" dxfId="2" priority="81" operator="between" text="High">
      <formula>NOT(ISERROR(SEARCH("High",E52)))</formula>
    </cfRule>
  </conditionalFormatting>
  <conditionalFormatting sqref="F52">
    <cfRule type="containsText" dxfId="0" priority="8" operator="between" text="Low">
      <formula>NOT(ISERROR(SEARCH("Low",F52)))</formula>
    </cfRule>
    <cfRule type="containsText" dxfId="1" priority="9" operator="between" text="Medium">
      <formula>NOT(ISERROR(SEARCH("Medium",F52)))</formula>
    </cfRule>
    <cfRule type="containsText" dxfId="2" priority="10" operator="between" text="High">
      <formula>NOT(ISERROR(SEARCH("High",F52)))</formula>
    </cfRule>
  </conditionalFormatting>
  <conditionalFormatting sqref="D7:D8">
    <cfRule type="containsText" dxfId="1" priority="201" operator="between" text="Medium">
      <formula>NOT(ISERROR(SEARCH("Medium",D7)))</formula>
    </cfRule>
    <cfRule type="containsText" dxfId="0" priority="202" operator="between" text="Low">
      <formula>NOT(ISERROR(SEARCH("Low",D7)))</formula>
    </cfRule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" priority="204" operator="between" text="High">
      <formula>NOT(ISERROR(SEARCH("High",D7)))</formula>
    </cfRule>
  </conditionalFormatting>
  <conditionalFormatting sqref="D10:D11">
    <cfRule type="containsText" dxfId="1" priority="194" operator="between" text="Medium">
      <formula>NOT(ISERROR(SEARCH("Medium",D10)))</formula>
    </cfRule>
    <cfRule type="containsText" dxfId="0" priority="195" operator="between" text="Low">
      <formula>NOT(ISERROR(SEARCH("Low",D10)))</formula>
    </cfRule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" priority="197" operator="between" text="High">
      <formula>NOT(ISERROR(SEARCH("High",D10)))</formula>
    </cfRule>
  </conditionalFormatting>
  <conditionalFormatting sqref="D13:D14">
    <cfRule type="containsText" dxfId="1" priority="187" operator="between" text="Medium">
      <formula>NOT(ISERROR(SEARCH("Medium",D13)))</formula>
    </cfRule>
    <cfRule type="containsText" dxfId="0" priority="188" operator="between" text="Low">
      <formula>NOT(ISERROR(SEARCH("Low",D13)))</formula>
    </cfRule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" priority="190" operator="between" text="High">
      <formula>NOT(ISERROR(SEARCH("High",D13)))</formula>
    </cfRule>
  </conditionalFormatting>
  <conditionalFormatting sqref="D17:D18">
    <cfRule type="containsText" dxfId="1" priority="180" operator="between" text="Medium">
      <formula>NOT(ISERROR(SEARCH("Medium",D17)))</formula>
    </cfRule>
    <cfRule type="containsText" dxfId="0" priority="181" operator="between" text="Low">
      <formula>NOT(ISERROR(SEARCH("Low",D17)))</formula>
    </cfRule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" priority="183" operator="between" text="High">
      <formula>NOT(ISERROR(SEARCH("High",D17)))</formula>
    </cfRule>
  </conditionalFormatting>
  <conditionalFormatting sqref="D20:D21">
    <cfRule type="containsText" dxfId="1" priority="173" operator="between" text="Medium">
      <formula>NOT(ISERROR(SEARCH("Medium",D20)))</formula>
    </cfRule>
    <cfRule type="containsText" dxfId="0" priority="174" operator="between" text="Low">
      <formula>NOT(ISERROR(SEARCH("Low",D20)))</formula>
    </cfRule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" priority="176" operator="between" text="High">
      <formula>NOT(ISERROR(SEARCH("High",D20)))</formula>
    </cfRule>
  </conditionalFormatting>
  <conditionalFormatting sqref="D25:D26">
    <cfRule type="containsText" dxfId="1" priority="152" operator="between" text="Medium">
      <formula>NOT(ISERROR(SEARCH("Medium",D25)))</formula>
    </cfRule>
    <cfRule type="containsText" dxfId="0" priority="153" operator="between" text="Low">
      <formula>NOT(ISERROR(SEARCH("Low",D25)))</formula>
    </cfRule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" priority="155" operator="between" text="High">
      <formula>NOT(ISERROR(SEARCH("High",D25)))</formula>
    </cfRule>
  </conditionalFormatting>
  <conditionalFormatting sqref="D29:D30">
    <cfRule type="containsText" dxfId="1" priority="145" operator="between" text="Medium">
      <formula>NOT(ISERROR(SEARCH("Medium",D29)))</formula>
    </cfRule>
    <cfRule type="containsText" dxfId="0" priority="146" operator="between" text="Low">
      <formula>NOT(ISERROR(SEARCH("Low",D29)))</formula>
    </cfRule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" priority="148" operator="between" text="High">
      <formula>NOT(ISERROR(SEARCH("High",D29)))</formula>
    </cfRule>
  </conditionalFormatting>
  <conditionalFormatting sqref="D32:D33">
    <cfRule type="containsText" dxfId="1" priority="138" operator="between" text="Medium">
      <formula>NOT(ISERROR(SEARCH("Medium",D32)))</formula>
    </cfRule>
    <cfRule type="containsText" dxfId="0" priority="139" operator="between" text="Low">
      <formula>NOT(ISERROR(SEARCH("Low",D32)))</formula>
    </cfRule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" priority="141" operator="between" text="High">
      <formula>NOT(ISERROR(SEARCH("High",D32)))</formula>
    </cfRule>
  </conditionalFormatting>
  <conditionalFormatting sqref="D35:D36">
    <cfRule type="containsText" dxfId="1" priority="131" operator="between" text="Medium">
      <formula>NOT(ISERROR(SEARCH("Medium",D35)))</formula>
    </cfRule>
    <cfRule type="containsText" dxfId="0" priority="132" operator="between" text="Low">
      <formula>NOT(ISERROR(SEARCH("Low",D35)))</formula>
    </cfRule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" priority="134" operator="between" text="High">
      <formula>NOT(ISERROR(SEARCH("High",D35)))</formula>
    </cfRule>
  </conditionalFormatting>
  <conditionalFormatting sqref="D38:D39">
    <cfRule type="containsText" dxfId="1" priority="117" operator="between" text="Medium">
      <formula>NOT(ISERROR(SEARCH("Medium",D38)))</formula>
    </cfRule>
    <cfRule type="containsText" dxfId="0" priority="118" operator="between" text="Low">
      <formula>NOT(ISERROR(SEARCH("Low",D38)))</formula>
    </cfRule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" priority="120" operator="between" text="High">
      <formula>NOT(ISERROR(SEARCH("High",D38)))</formula>
    </cfRule>
  </conditionalFormatting>
  <conditionalFormatting sqref="D42:D43">
    <cfRule type="containsText" dxfId="1" priority="103" operator="between" text="Medium">
      <formula>NOT(ISERROR(SEARCH("Medium",D42)))</formula>
    </cfRule>
    <cfRule type="containsText" dxfId="0" priority="104" operator="between" text="Low">
      <formula>NOT(ISERROR(SEARCH("Low",D42)))</formula>
    </cfRule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" priority="106" operator="between" text="High">
      <formula>NOT(ISERROR(SEARCH("High",D42)))</formula>
    </cfRule>
  </conditionalFormatting>
  <conditionalFormatting sqref="D46:D47">
    <cfRule type="containsText" dxfId="1" priority="89" operator="between" text="Medium">
      <formula>NOT(ISERROR(SEARCH("Medium",D46)))</formula>
    </cfRule>
    <cfRule type="containsText" dxfId="0" priority="90" operator="between" text="Low">
      <formula>NOT(ISERROR(SEARCH("Low",D46)))</formula>
    </cfRule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" priority="92" operator="between" text="High">
      <formula>NOT(ISERROR(SEARCH("High",D46)))</formula>
    </cfRule>
  </conditionalFormatting>
  <conditionalFormatting sqref="D50:D51">
    <cfRule type="containsText" dxfId="1" priority="75" operator="between" text="Medium">
      <formula>NOT(ISERROR(SEARCH("Medium",D50)))</formula>
    </cfRule>
    <cfRule type="containsText" dxfId="0" priority="76" operator="between" text="Low">
      <formula>NOT(ISERROR(SEARCH("Low",D50)))</formula>
    </cfRule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" priority="78" operator="between" text="High">
      <formula>NOT(ISERROR(SEARCH("High",D50)))</formula>
    </cfRule>
  </conditionalFormatting>
  <conditionalFormatting sqref="D54:D55">
    <cfRule type="containsText" dxfId="1" priority="68" operator="between" text="Medium">
      <formula>NOT(ISERROR(SEARCH("Medium",D54)))</formula>
    </cfRule>
    <cfRule type="containsText" dxfId="0" priority="69" operator="between" text="Low">
      <formula>NOT(ISERROR(SEARCH("Low",D54)))</formula>
    </cfRule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" priority="71" operator="between" text="High">
      <formula>NOT(ISERROR(SEARCH("High",D54)))</formula>
    </cfRule>
  </conditionalFormatting>
  <conditionalFormatting sqref="E7:E8">
    <cfRule type="containsText" dxfId="0" priority="198" operator="between" text="Low">
      <formula>NOT(ISERROR(SEARCH("Low",E7)))</formula>
    </cfRule>
    <cfRule type="containsText" dxfId="1" priority="199" operator="between" text="Medium">
      <formula>NOT(ISERROR(SEARCH("Medium",E7)))</formula>
    </cfRule>
    <cfRule type="containsText" dxfId="2" priority="200" operator="between" text="High">
      <formula>NOT(ISERROR(SEARCH("High",E7)))</formula>
    </cfRule>
  </conditionalFormatting>
  <conditionalFormatting sqref="E10:E11">
    <cfRule type="containsText" dxfId="0" priority="191" operator="between" text="Low">
      <formula>NOT(ISERROR(SEARCH("Low",E10)))</formula>
    </cfRule>
    <cfRule type="containsText" dxfId="1" priority="192" operator="between" text="Medium">
      <formula>NOT(ISERROR(SEARCH("Medium",E10)))</formula>
    </cfRule>
    <cfRule type="containsText" dxfId="2" priority="193" operator="between" text="High">
      <formula>NOT(ISERROR(SEARCH("High",E10)))</formula>
    </cfRule>
  </conditionalFormatting>
  <conditionalFormatting sqref="E13:E14">
    <cfRule type="containsText" dxfId="0" priority="184" operator="between" text="Low">
      <formula>NOT(ISERROR(SEARCH("Low",E13)))</formula>
    </cfRule>
    <cfRule type="containsText" dxfId="1" priority="185" operator="between" text="Medium">
      <formula>NOT(ISERROR(SEARCH("Medium",E13)))</formula>
    </cfRule>
    <cfRule type="containsText" dxfId="2" priority="186" operator="between" text="High">
      <formula>NOT(ISERROR(SEARCH("High",E13)))</formula>
    </cfRule>
  </conditionalFormatting>
  <conditionalFormatting sqref="E17:E18">
    <cfRule type="containsText" dxfId="0" priority="177" operator="between" text="Low">
      <formula>NOT(ISERROR(SEARCH("Low",E17)))</formula>
    </cfRule>
    <cfRule type="containsText" dxfId="1" priority="178" operator="between" text="Medium">
      <formula>NOT(ISERROR(SEARCH("Medium",E17)))</formula>
    </cfRule>
    <cfRule type="containsText" dxfId="2" priority="179" operator="between" text="High">
      <formula>NOT(ISERROR(SEARCH("High",E17)))</formula>
    </cfRule>
  </conditionalFormatting>
  <conditionalFormatting sqref="E20:E21">
    <cfRule type="containsText" dxfId="0" priority="170" operator="between" text="Low">
      <formula>NOT(ISERROR(SEARCH("Low",E20)))</formula>
    </cfRule>
    <cfRule type="containsText" dxfId="1" priority="171" operator="between" text="Medium">
      <formula>NOT(ISERROR(SEARCH("Medium",E20)))</formula>
    </cfRule>
    <cfRule type="containsText" dxfId="2" priority="172" operator="between" text="High">
      <formula>NOT(ISERROR(SEARCH("High",E20)))</formula>
    </cfRule>
  </conditionalFormatting>
  <conditionalFormatting sqref="E25:E26">
    <cfRule type="containsText" dxfId="0" priority="149" operator="between" text="Low">
      <formula>NOT(ISERROR(SEARCH("Low",E25)))</formula>
    </cfRule>
    <cfRule type="containsText" dxfId="1" priority="150" operator="between" text="Medium">
      <formula>NOT(ISERROR(SEARCH("Medium",E25)))</formula>
    </cfRule>
    <cfRule type="containsText" dxfId="2" priority="151" operator="between" text="High">
      <formula>NOT(ISERROR(SEARCH("High",E25)))</formula>
    </cfRule>
  </conditionalFormatting>
  <conditionalFormatting sqref="E29:E30">
    <cfRule type="containsText" dxfId="0" priority="142" operator="between" text="Low">
      <formula>NOT(ISERROR(SEARCH("Low",E29)))</formula>
    </cfRule>
    <cfRule type="containsText" dxfId="1" priority="143" operator="between" text="Medium">
      <formula>NOT(ISERROR(SEARCH("Medium",E29)))</formula>
    </cfRule>
    <cfRule type="containsText" dxfId="2" priority="144" operator="between" text="High">
      <formula>NOT(ISERROR(SEARCH("High",E29)))</formula>
    </cfRule>
  </conditionalFormatting>
  <conditionalFormatting sqref="E32:E33">
    <cfRule type="containsText" dxfId="0" priority="135" operator="between" text="Low">
      <formula>NOT(ISERROR(SEARCH("Low",E32)))</formula>
    </cfRule>
    <cfRule type="containsText" dxfId="1" priority="136" operator="between" text="Medium">
      <formula>NOT(ISERROR(SEARCH("Medium",E32)))</formula>
    </cfRule>
    <cfRule type="containsText" dxfId="2" priority="137" operator="between" text="High">
      <formula>NOT(ISERROR(SEARCH("High",E32)))</formula>
    </cfRule>
  </conditionalFormatting>
  <conditionalFormatting sqref="E35:E36">
    <cfRule type="containsText" dxfId="0" priority="128" operator="between" text="Low">
      <formula>NOT(ISERROR(SEARCH("Low",E35)))</formula>
    </cfRule>
    <cfRule type="containsText" dxfId="1" priority="129" operator="between" text="Medium">
      <formula>NOT(ISERROR(SEARCH("Medium",E35)))</formula>
    </cfRule>
    <cfRule type="containsText" dxfId="2" priority="130" operator="between" text="High">
      <formula>NOT(ISERROR(SEARCH("High",E35)))</formula>
    </cfRule>
  </conditionalFormatting>
  <conditionalFormatting sqref="E38:E39">
    <cfRule type="containsText" dxfId="0" priority="114" operator="between" text="Low">
      <formula>NOT(ISERROR(SEARCH("Low",E38)))</formula>
    </cfRule>
    <cfRule type="containsText" dxfId="1" priority="115" operator="between" text="Medium">
      <formula>NOT(ISERROR(SEARCH("Medium",E38)))</formula>
    </cfRule>
    <cfRule type="containsText" dxfId="2" priority="116" operator="between" text="High">
      <formula>NOT(ISERROR(SEARCH("High",E38)))</formula>
    </cfRule>
  </conditionalFormatting>
  <conditionalFormatting sqref="E42:E43">
    <cfRule type="containsText" dxfId="0" priority="100" operator="between" text="Low">
      <formula>NOT(ISERROR(SEARCH("Low",E42)))</formula>
    </cfRule>
    <cfRule type="containsText" dxfId="1" priority="101" operator="between" text="Medium">
      <formula>NOT(ISERROR(SEARCH("Medium",E42)))</formula>
    </cfRule>
    <cfRule type="containsText" dxfId="2" priority="102" operator="between" text="High">
      <formula>NOT(ISERROR(SEARCH("High",E42)))</formula>
    </cfRule>
  </conditionalFormatting>
  <conditionalFormatting sqref="E46:E47">
    <cfRule type="containsText" dxfId="0" priority="86" operator="between" text="Low">
      <formula>NOT(ISERROR(SEARCH("Low",E46)))</formula>
    </cfRule>
    <cfRule type="containsText" dxfId="1" priority="87" operator="between" text="Medium">
      <formula>NOT(ISERROR(SEARCH("Medium",E46)))</formula>
    </cfRule>
    <cfRule type="containsText" dxfId="2" priority="88" operator="between" text="High">
      <formula>NOT(ISERROR(SEARCH("High",E46)))</formula>
    </cfRule>
  </conditionalFormatting>
  <conditionalFormatting sqref="E50:E51">
    <cfRule type="containsText" dxfId="0" priority="72" operator="between" text="Low">
      <formula>NOT(ISERROR(SEARCH("Low",E50)))</formula>
    </cfRule>
    <cfRule type="containsText" dxfId="1" priority="73" operator="between" text="Medium">
      <formula>NOT(ISERROR(SEARCH("Medium",E50)))</formula>
    </cfRule>
    <cfRule type="containsText" dxfId="2" priority="74" operator="between" text="High">
      <formula>NOT(ISERROR(SEARCH("High",E50)))</formula>
    </cfRule>
  </conditionalFormatting>
  <conditionalFormatting sqref="E54:E55">
    <cfRule type="containsText" dxfId="0" priority="65" operator="between" text="Low">
      <formula>NOT(ISERROR(SEARCH("Low",E54)))</formula>
    </cfRule>
    <cfRule type="containsText" dxfId="1" priority="66" operator="between" text="Medium">
      <formula>NOT(ISERROR(SEARCH("Medium",E54)))</formula>
    </cfRule>
    <cfRule type="containsText" dxfId="2" priority="67" operator="between" text="High">
      <formula>NOT(ISERROR(SEARCH("High",E54)))</formula>
    </cfRule>
  </conditionalFormatting>
  <conditionalFormatting sqref="F7:F8">
    <cfRule type="containsText" dxfId="0" priority="62" operator="between" text="Low">
      <formula>NOT(ISERROR(SEARCH("Low",F7)))</formula>
    </cfRule>
    <cfRule type="containsText" dxfId="1" priority="63" operator="between" text="Medium">
      <formula>NOT(ISERROR(SEARCH("Medium",F7)))</formula>
    </cfRule>
    <cfRule type="containsText" dxfId="2" priority="64" operator="between" text="High">
      <formula>NOT(ISERROR(SEARCH("High",F7)))</formula>
    </cfRule>
  </conditionalFormatting>
  <conditionalFormatting sqref="F10:F11">
    <cfRule type="containsText" dxfId="0" priority="59" operator="between" text="Low">
      <formula>NOT(ISERROR(SEARCH("Low",F10)))</formula>
    </cfRule>
    <cfRule type="containsText" dxfId="1" priority="60" operator="between" text="Medium">
      <formula>NOT(ISERROR(SEARCH("Medium",F10)))</formula>
    </cfRule>
    <cfRule type="containsText" dxfId="2" priority="61" operator="between" text="High">
      <formula>NOT(ISERROR(SEARCH("High",F10)))</formula>
    </cfRule>
  </conditionalFormatting>
  <conditionalFormatting sqref="F13:F14">
    <cfRule type="containsText" dxfId="0" priority="56" operator="between" text="Low">
      <formula>NOT(ISERROR(SEARCH("Low",F13)))</formula>
    </cfRule>
    <cfRule type="containsText" dxfId="1" priority="57" operator="between" text="Medium">
      <formula>NOT(ISERROR(SEARCH("Medium",F13)))</formula>
    </cfRule>
    <cfRule type="containsText" dxfId="2" priority="58" operator="between" text="High">
      <formula>NOT(ISERROR(SEARCH("High",F13)))</formula>
    </cfRule>
  </conditionalFormatting>
  <conditionalFormatting sqref="F17:F18">
    <cfRule type="containsText" dxfId="0" priority="50" operator="between" text="Low">
      <formula>NOT(ISERROR(SEARCH("Low",F17)))</formula>
    </cfRule>
    <cfRule type="containsText" dxfId="1" priority="51" operator="between" text="Medium">
      <formula>NOT(ISERROR(SEARCH("Medium",F17)))</formula>
    </cfRule>
    <cfRule type="containsText" dxfId="2" priority="52" operator="between" text="High">
      <formula>NOT(ISERROR(SEARCH("High",F17)))</formula>
    </cfRule>
  </conditionalFormatting>
  <conditionalFormatting sqref="F20:F21">
    <cfRule type="containsText" dxfId="0" priority="47" operator="between" text="Low">
      <formula>NOT(ISERROR(SEARCH("Low",F20)))</formula>
    </cfRule>
    <cfRule type="containsText" dxfId="1" priority="48" operator="between" text="Medium">
      <formula>NOT(ISERROR(SEARCH("Medium",F20)))</formula>
    </cfRule>
    <cfRule type="containsText" dxfId="2" priority="49" operator="between" text="High">
      <formula>NOT(ISERROR(SEARCH("High",F20)))</formula>
    </cfRule>
  </conditionalFormatting>
  <conditionalFormatting sqref="F25:F26">
    <cfRule type="containsText" dxfId="0" priority="41" operator="between" text="Low">
      <formula>NOT(ISERROR(SEARCH("Low",F25)))</formula>
    </cfRule>
    <cfRule type="containsText" dxfId="1" priority="42" operator="between" text="Medium">
      <formula>NOT(ISERROR(SEARCH("Medium",F25)))</formula>
    </cfRule>
    <cfRule type="containsText" dxfId="2" priority="43" operator="between" text="High">
      <formula>NOT(ISERROR(SEARCH("High",F25)))</formula>
    </cfRule>
  </conditionalFormatting>
  <conditionalFormatting sqref="F29:F30">
    <cfRule type="containsText" dxfId="0" priority="2" operator="between" text="Low">
      <formula>NOT(ISERROR(SEARCH("Low",F29)))</formula>
    </cfRule>
    <cfRule type="containsText" dxfId="1" priority="3" operator="between" text="Medium">
      <formula>NOT(ISERROR(SEARCH("Medium",F29)))</formula>
    </cfRule>
    <cfRule type="containsText" dxfId="2" priority="4" operator="between" text="High">
      <formula>NOT(ISERROR(SEARCH("High",F29)))</formula>
    </cfRule>
  </conditionalFormatting>
  <conditionalFormatting sqref="F32:F33">
    <cfRule type="containsText" dxfId="0" priority="35" operator="between" text="Low">
      <formula>NOT(ISERROR(SEARCH("Low",F32)))</formula>
    </cfRule>
    <cfRule type="containsText" dxfId="1" priority="36" operator="between" text="Medium">
      <formula>NOT(ISERROR(SEARCH("Medium",F32)))</formula>
    </cfRule>
    <cfRule type="containsText" dxfId="2" priority="37" operator="between" text="High">
      <formula>NOT(ISERROR(SEARCH("High",F32)))</formula>
    </cfRule>
  </conditionalFormatting>
  <conditionalFormatting sqref="F35:F36">
    <cfRule type="containsText" dxfId="0" priority="32" operator="between" text="Low">
      <formula>NOT(ISERROR(SEARCH("Low",F35)))</formula>
    </cfRule>
    <cfRule type="containsText" dxfId="1" priority="33" operator="between" text="Medium">
      <formula>NOT(ISERROR(SEARCH("Medium",F35)))</formula>
    </cfRule>
    <cfRule type="containsText" dxfId="2" priority="34" operator="between" text="High">
      <formula>NOT(ISERROR(SEARCH("High",F35)))</formula>
    </cfRule>
  </conditionalFormatting>
  <conditionalFormatting sqref="F38:F39">
    <cfRule type="containsText" dxfId="0" priority="29" operator="between" text="Low">
      <formula>NOT(ISERROR(SEARCH("Low",F38)))</formula>
    </cfRule>
    <cfRule type="containsText" dxfId="1" priority="30" operator="between" text="Medium">
      <formula>NOT(ISERROR(SEARCH("Medium",F38)))</formula>
    </cfRule>
    <cfRule type="containsText" dxfId="2" priority="31" operator="between" text="High">
      <formula>NOT(ISERROR(SEARCH("High",F38)))</formula>
    </cfRule>
  </conditionalFormatting>
  <conditionalFormatting sqref="F42:F43">
    <cfRule type="containsText" dxfId="0" priority="23" operator="between" text="Low">
      <formula>NOT(ISERROR(SEARCH("Low",F42)))</formula>
    </cfRule>
    <cfRule type="containsText" dxfId="1" priority="24" operator="between" text="Medium">
      <formula>NOT(ISERROR(SEARCH("Medium",F42)))</formula>
    </cfRule>
    <cfRule type="containsText" dxfId="2" priority="25" operator="between" text="High">
      <formula>NOT(ISERROR(SEARCH("High",F42)))</formula>
    </cfRule>
  </conditionalFormatting>
  <conditionalFormatting sqref="F46:F47">
    <cfRule type="containsText" dxfId="0" priority="17" operator="between" text="Low">
      <formula>NOT(ISERROR(SEARCH("Low",F46)))</formula>
    </cfRule>
    <cfRule type="containsText" dxfId="1" priority="18" operator="between" text="Medium">
      <formula>NOT(ISERROR(SEARCH("Medium",F46)))</formula>
    </cfRule>
    <cfRule type="containsText" dxfId="2" priority="19" operator="between" text="High">
      <formula>NOT(ISERROR(SEARCH("High",F46)))</formula>
    </cfRule>
  </conditionalFormatting>
  <conditionalFormatting sqref="F50:F51">
    <cfRule type="containsText" dxfId="0" priority="11" operator="between" text="Low">
      <formula>NOT(ISERROR(SEARCH("Low",F50)))</formula>
    </cfRule>
    <cfRule type="containsText" dxfId="1" priority="12" operator="between" text="Medium">
      <formula>NOT(ISERROR(SEARCH("Medium",F50)))</formula>
    </cfRule>
    <cfRule type="containsText" dxfId="2" priority="13" operator="between" text="High">
      <formula>NOT(ISERROR(SEARCH("High",F50)))</formula>
    </cfRule>
  </conditionalFormatting>
  <conditionalFormatting sqref="F54:F55">
    <cfRule type="containsText" dxfId="0" priority="5" operator="between" text="Low">
      <formula>NOT(ISERROR(SEARCH("Low",F54)))</formula>
    </cfRule>
    <cfRule type="containsText" dxfId="1" priority="6" operator="between" text="Medium">
      <formula>NOT(ISERROR(SEARCH("Medium",F54)))</formula>
    </cfRule>
    <cfRule type="containsText" dxfId="2" priority="7" operator="between" text="High">
      <formula>NOT(ISERROR(SEARCH("High",F54)))</formula>
    </cfRule>
  </conditionalFormatting>
  <conditionalFormatting sqref="D1 D3:D5 D56:D1048576 D15">
    <cfRule type="containsText" dxfId="1" priority="208" operator="between" text="Medium">
      <formula>NOT(ISERROR(SEARCH("Medium",D1)))</formula>
    </cfRule>
    <cfRule type="containsText" dxfId="0" priority="209" operator="between" text="Low">
      <formula>NOT(ISERROR(SEARCH("Low",D1)))</formula>
    </cfRule>
    <cfRule type="colorScale" priority="210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" priority="211" operator="between" text="High">
      <formula>NOT(ISERROR(SEARCH("High",D1)))</formula>
    </cfRule>
  </conditionalFormatting>
  <conditionalFormatting sqref="E1 G1 E3:F5 E56:F1048576 E15">
    <cfRule type="containsText" dxfId="0" priority="205" operator="between" text="Low">
      <formula>NOT(ISERROR(SEARCH("Low",E1)))</formula>
    </cfRule>
    <cfRule type="containsText" dxfId="1" priority="206" operator="between" text="Medium">
      <formula>NOT(ISERROR(SEARCH("Medium",E1)))</formula>
    </cfRule>
    <cfRule type="containsText" dxfId="2" priority="207" operator="between" text="High">
      <formula>NOT(ISERROR(SEARCH("High",E1)))</formula>
    </cfRule>
  </conditionalFormatting>
  <dataValidations count="2">
    <dataValidation type="list" allowBlank="1" showInputMessage="1" showErrorMessage="1" sqref="D1 D15 D23 D27 D40 D44 D48 D52 D3:D5 D7:D8 D10:D11 D13:D14 D17:D18 D20:D21 D25:D26 D29:D30 D32:D33 D35:D36 D38:D39 D42:D43 D46:D47 D50:D51 D54:D55 D56:D1048576">
      <formula1>"High,Medium,Low"</formula1>
    </dataValidation>
    <dataValidation type="list" sqref="E1 G1 E15 F15 E23 F23 E27 F27 E40 F40 E44 F44 E48 F48 E52 F52 E3:E5 E7:E8 E10:E11 E13:E14 E17:E18 E20:E21 E25:E26 E29:E30 E32:E33 E35:E36 E38:E39 E42:E43 E46:E47 E50:E51 E54:E55 E56:E1048576 F3:F5 F7:F8 F10:F11 F13:F14 F17:F18 F20:F21 F25:F26 F29:F30 F32:F33 F35:F36 F38:F39 F42:F43 F46:F47 F50:F51 F54:F55 F56:F1048576" errorStyle="information">
      <formula1>"High,Medium,Low"</formula1>
    </dataValidation>
  </dataValidations>
  <pageMargins left="0.75" right="0.75" top="1" bottom="1" header="0.5" footer="0.5"/>
  <pageSetup paperSize="9" scale="5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Shivkanya Balamurugan</cp:lastModifiedBy>
  <dcterms:created xsi:type="dcterms:W3CDTF">2026-02-03T09:53:36Z</dcterms:created>
  <dcterms:modified xsi:type="dcterms:W3CDTF">2026-02-04T09:11:26Z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1C189899F5894CA483F336E09FEA54F6_11</vt:lpwstr>
  </property>
  <property fmtid="{D5CDD505-2E9C-101B-9397-08002B2CF9AE}" pid="3" name="KSOProductBuildVer">
    <vt:lpwstr>2057-12.2.0.23197</vt:lpwstr>
  </property>
</Properties>
</file>